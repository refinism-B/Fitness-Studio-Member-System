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d41\Documents\Data_Engineer\Project\PERI-Member-System\"/>
    </mc:Choice>
  </mc:AlternateContent>
  <xr:revisionPtr revIDLastSave="0" documentId="13_ncr:1_{D56BBCF9-2470-4AD8-9E73-01EA6A768CD5}" xr6:coauthVersionLast="47" xr6:coauthVersionMax="47" xr10:uidLastSave="{00000000-0000-0000-0000-000000000000}"/>
  <bookViews>
    <workbookView xWindow="-108" yWindow="-108" windowWidth="23256" windowHeight="13896" activeTab="2" xr2:uid="{00000000-000D-0000-FFFF-FFFF00000000}"/>
  </bookViews>
  <sheets>
    <sheet name="A_main" sheetId="1" r:id="rId1"/>
    <sheet name="B_event" sheetId="2" r:id="rId2"/>
    <sheet name="C_member" sheetId="3" r:id="rId3"/>
    <sheet name="coach" sheetId="4" r:id="rId4"/>
    <sheet name="menu" sheetId="5" r:id="rId5"/>
  </sheets>
  <calcPr calcId="191029"/>
</workbook>
</file>

<file path=xl/calcChain.xml><?xml version="1.0" encoding="utf-8"?>
<calcChain xmlns="http://schemas.openxmlformats.org/spreadsheetml/2006/main">
  <c r="E11" i="5" l="1"/>
  <c r="E10" i="5"/>
  <c r="E9" i="5"/>
  <c r="E8" i="5"/>
  <c r="E7" i="5"/>
  <c r="E6" i="5"/>
  <c r="E5" i="5"/>
  <c r="E4" i="5"/>
  <c r="E3" i="5"/>
  <c r="E2" i="5"/>
</calcChain>
</file>

<file path=xl/sharedStrings.xml><?xml version="1.0" encoding="utf-8"?>
<sst xmlns="http://schemas.openxmlformats.org/spreadsheetml/2006/main" count="276" uniqueCount="90">
  <si>
    <t>會員編號</t>
  </si>
  <si>
    <t>會員姓名</t>
  </si>
  <si>
    <t>生日</t>
  </si>
  <si>
    <t>電話</t>
  </si>
  <si>
    <t>方案</t>
  </si>
  <si>
    <t>剩餘堂數</t>
  </si>
  <si>
    <t>平均單堂金額</t>
  </si>
  <si>
    <t>剩餘預收款項</t>
  </si>
  <si>
    <t>最近交易日期</t>
  </si>
  <si>
    <t>120</t>
  </si>
  <si>
    <t>王小明</t>
  </si>
  <si>
    <t>1978-02-16</t>
  </si>
  <si>
    <t>0966222333</t>
  </si>
  <si>
    <t>一對一</t>
  </si>
  <si>
    <t>2025-12-16</t>
  </si>
  <si>
    <t>1998</t>
  </si>
  <si>
    <t>TestUser</t>
  </si>
  <si>
    <t>2025-12-15</t>
  </si>
  <si>
    <t>0912345678</t>
  </si>
  <si>
    <t>特殊課程</t>
  </si>
  <si>
    <t>1999</t>
  </si>
  <si>
    <t>TestBrowserUser</t>
  </si>
  <si>
    <t>2000-01-01</t>
  </si>
  <si>
    <t>321</t>
  </si>
  <si>
    <t>林小美</t>
  </si>
  <si>
    <t>1986-02-17</t>
  </si>
  <si>
    <t>0956333222</t>
  </si>
  <si>
    <t>一對二</t>
  </si>
  <si>
    <t>2025-12-14</t>
  </si>
  <si>
    <t>堂數</t>
  </si>
  <si>
    <t>單堂金額</t>
  </si>
  <si>
    <t>方案總金額</t>
  </si>
  <si>
    <t>教練</t>
  </si>
  <si>
    <t>付款方式</t>
  </si>
  <si>
    <t>匯款末五碼</t>
  </si>
  <si>
    <t>交易日期</t>
  </si>
  <si>
    <t>交易時間</t>
  </si>
  <si>
    <t>匯款</t>
  </si>
  <si>
    <t>56338</t>
  </si>
  <si>
    <t>20:54:18</t>
  </si>
  <si>
    <t>現金</t>
  </si>
  <si>
    <t>無</t>
  </si>
  <si>
    <t>20:55:55</t>
  </si>
  <si>
    <t>20:56:00</t>
  </si>
  <si>
    <t>20:56:03</t>
  </si>
  <si>
    <t>上課</t>
  </si>
  <si>
    <t>20:57:55</t>
  </si>
  <si>
    <t>20:58:14</t>
  </si>
  <si>
    <t>20:58:16</t>
  </si>
  <si>
    <t>21:16:05</t>
  </si>
  <si>
    <t>21:17:49</t>
  </si>
  <si>
    <t>21:17:58</t>
  </si>
  <si>
    <t>21:19:25</t>
  </si>
  <si>
    <t>16:40:58</t>
  </si>
  <si>
    <t>16:41:59</t>
  </si>
  <si>
    <t>16:43:38</t>
  </si>
  <si>
    <t>16:45:40</t>
  </si>
  <si>
    <t>16:46:47</t>
  </si>
  <si>
    <t>19:32:31</t>
  </si>
  <si>
    <t>19:34:33</t>
  </si>
  <si>
    <t>19:34:54</t>
  </si>
  <si>
    <t>19:35:54</t>
  </si>
  <si>
    <t>20:37:08</t>
  </si>
  <si>
    <t>20:56:37</t>
  </si>
  <si>
    <t>退款</t>
  </si>
  <si>
    <t>11:12:58</t>
  </si>
  <si>
    <t>加入日期</t>
  </si>
  <si>
    <t>加入時間</t>
  </si>
  <si>
    <t>20:52:19</t>
  </si>
  <si>
    <t>20:53:04</t>
  </si>
  <si>
    <t>21:14:07</t>
  </si>
  <si>
    <t>16:35:00</t>
  </si>
  <si>
    <t>教練編號</t>
  </si>
  <si>
    <t>姓名</t>
  </si>
  <si>
    <t>老莊</t>
  </si>
  <si>
    <t>黃寧</t>
  </si>
  <si>
    <t>ADI</t>
  </si>
  <si>
    <t>Jack</t>
  </si>
  <si>
    <t>Puma</t>
  </si>
  <si>
    <t>晉丞</t>
  </si>
  <si>
    <t>plan</t>
  </si>
  <si>
    <t>name</t>
  </si>
  <si>
    <t>count</t>
  </si>
  <si>
    <t>price</t>
  </si>
  <si>
    <t>total</t>
  </si>
  <si>
    <t>A</t>
  </si>
  <si>
    <t>B</t>
  </si>
  <si>
    <t>C</t>
  </si>
  <si>
    <t>團體課</t>
  </si>
  <si>
    <t>備註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</si>
</sst>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name val="新細明體"/>
    </font>
    <font>
      <sz val="12"/>
      <color theme="1"/>
      <name val="Microsoft JhengHei"/>
      <family val="2"/>
    </font>
    <font>
      <b/>
      <sz val="12"/>
      <name val="新細明體"/>
      <family val="1"/>
      <charset val="136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/>
    <xf numFmtId="0" fontId="2" fillId="0" borderId="1" xfId="0" applyFont="1" applyBorder="1" applyAlignment="1">
      <alignment horizontal="center" vertical="top"/>
    </xf>
    <xf numFmtId="0" fontId="3" fillId="0" borderId="0" xfId="0" applyFont="1">
      <alignment vertical="center"/>
    </xf>
    <xf numFmtId="0" fontId="4" fillId="0" borderId="2" xfId="0" applyFont="1" applyFill="1" applyBorder="1" applyAlignment="1">
      <alignment horizontal="center" vertical="top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"/>
  <sheetViews>
    <sheetView workbookViewId="0"/>
  </sheetViews>
  <sheetFormatPr defaultRowHeight="16.2"/>
  <sheetData>
    <row r="1" spans="1:9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</row>
    <row r="2" spans="1:9">
      <c r="A2" t="s">
        <v>9</v>
      </c>
      <c r="B2" t="s">
        <v>10</v>
      </c>
      <c r="C2" t="s">
        <v>11</v>
      </c>
      <c r="D2" t="s">
        <v>12</v>
      </c>
      <c r="E2" t="s">
        <v>13</v>
      </c>
      <c r="F2">
        <v>0</v>
      </c>
      <c r="G2">
        <v>0</v>
      </c>
      <c r="H2">
        <v>0</v>
      </c>
      <c r="I2" t="s">
        <v>14</v>
      </c>
    </row>
    <row r="3" spans="1:9">
      <c r="A3" t="s">
        <v>15</v>
      </c>
      <c r="B3" t="s">
        <v>16</v>
      </c>
      <c r="C3" t="s">
        <v>17</v>
      </c>
      <c r="D3" t="s">
        <v>18</v>
      </c>
      <c r="E3" t="s">
        <v>19</v>
      </c>
      <c r="F3">
        <v>123</v>
      </c>
      <c r="G3">
        <v>1008.07</v>
      </c>
      <c r="H3">
        <v>123992.93</v>
      </c>
      <c r="I3" t="s">
        <v>17</v>
      </c>
    </row>
    <row r="4" spans="1:9">
      <c r="A4" t="s">
        <v>20</v>
      </c>
      <c r="B4" t="s">
        <v>21</v>
      </c>
      <c r="C4" t="s">
        <v>22</v>
      </c>
      <c r="D4" t="s">
        <v>18</v>
      </c>
      <c r="E4" t="s">
        <v>13</v>
      </c>
      <c r="F4">
        <v>1</v>
      </c>
      <c r="G4">
        <v>2600</v>
      </c>
      <c r="H4">
        <v>2600</v>
      </c>
      <c r="I4" t="s">
        <v>17</v>
      </c>
    </row>
    <row r="5" spans="1:9">
      <c r="A5" t="s">
        <v>23</v>
      </c>
      <c r="B5" t="s">
        <v>24</v>
      </c>
      <c r="C5" t="s">
        <v>25</v>
      </c>
      <c r="D5" t="s">
        <v>26</v>
      </c>
      <c r="E5" t="s">
        <v>27</v>
      </c>
      <c r="F5">
        <v>11</v>
      </c>
      <c r="G5">
        <v>3123.08</v>
      </c>
      <c r="H5">
        <v>34353.839999999997</v>
      </c>
      <c r="I5" t="s">
        <v>28</v>
      </c>
    </row>
  </sheetData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5"/>
  <sheetViews>
    <sheetView workbookViewId="0">
      <selection activeCell="L2" sqref="L2"/>
    </sheetView>
  </sheetViews>
  <sheetFormatPr defaultRowHeight="16.2"/>
  <sheetData>
    <row r="1" spans="1:12">
      <c r="A1" s="5" t="s">
        <v>0</v>
      </c>
      <c r="B1" s="5" t="s">
        <v>1</v>
      </c>
      <c r="C1" s="5" t="s">
        <v>4</v>
      </c>
      <c r="D1" s="5" t="s">
        <v>29</v>
      </c>
      <c r="E1" s="5" t="s">
        <v>30</v>
      </c>
      <c r="F1" s="5" t="s">
        <v>31</v>
      </c>
      <c r="G1" s="5" t="s">
        <v>32</v>
      </c>
      <c r="H1" s="5" t="s">
        <v>33</v>
      </c>
      <c r="I1" s="5" t="s">
        <v>34</v>
      </c>
      <c r="J1" s="5" t="s">
        <v>35</v>
      </c>
      <c r="K1" s="5" t="s">
        <v>36</v>
      </c>
      <c r="L1" s="6" t="s">
        <v>89</v>
      </c>
    </row>
    <row r="2" spans="1:12">
      <c r="A2" t="s">
        <v>9</v>
      </c>
      <c r="B2" t="s">
        <v>10</v>
      </c>
      <c r="C2" t="s">
        <v>13</v>
      </c>
      <c r="D2">
        <v>4</v>
      </c>
      <c r="E2">
        <v>1950</v>
      </c>
      <c r="F2">
        <v>7800</v>
      </c>
      <c r="G2">
        <v>200</v>
      </c>
      <c r="H2" t="s">
        <v>37</v>
      </c>
      <c r="I2" t="s">
        <v>38</v>
      </c>
      <c r="J2" t="s">
        <v>28</v>
      </c>
      <c r="K2" t="s">
        <v>39</v>
      </c>
    </row>
    <row r="3" spans="1:12">
      <c r="A3" t="s">
        <v>23</v>
      </c>
      <c r="B3" t="s">
        <v>24</v>
      </c>
      <c r="C3" t="s">
        <v>27</v>
      </c>
      <c r="D3">
        <v>8</v>
      </c>
      <c r="E3">
        <v>3000</v>
      </c>
      <c r="F3">
        <v>24000</v>
      </c>
      <c r="G3">
        <v>300</v>
      </c>
      <c r="H3" t="s">
        <v>40</v>
      </c>
      <c r="I3" t="s">
        <v>41</v>
      </c>
      <c r="J3" t="s">
        <v>28</v>
      </c>
      <c r="K3" t="s">
        <v>42</v>
      </c>
    </row>
    <row r="4" spans="1:12">
      <c r="A4" t="s">
        <v>23</v>
      </c>
      <c r="B4" t="s">
        <v>24</v>
      </c>
      <c r="C4" t="s">
        <v>27</v>
      </c>
      <c r="D4">
        <v>4</v>
      </c>
      <c r="E4">
        <v>3200</v>
      </c>
      <c r="F4">
        <v>12800</v>
      </c>
      <c r="G4">
        <v>300</v>
      </c>
      <c r="H4" t="s">
        <v>40</v>
      </c>
      <c r="I4" t="s">
        <v>41</v>
      </c>
      <c r="J4" t="s">
        <v>28</v>
      </c>
      <c r="K4" t="s">
        <v>43</v>
      </c>
    </row>
    <row r="5" spans="1:12">
      <c r="A5" t="s">
        <v>23</v>
      </c>
      <c r="B5" t="s">
        <v>24</v>
      </c>
      <c r="C5" t="s">
        <v>27</v>
      </c>
      <c r="D5">
        <v>1</v>
      </c>
      <c r="E5">
        <v>3800</v>
      </c>
      <c r="F5">
        <v>3800</v>
      </c>
      <c r="G5">
        <v>300</v>
      </c>
      <c r="H5" t="s">
        <v>40</v>
      </c>
      <c r="I5" t="s">
        <v>41</v>
      </c>
      <c r="J5" t="s">
        <v>28</v>
      </c>
      <c r="K5" t="s">
        <v>44</v>
      </c>
    </row>
    <row r="6" spans="1:12">
      <c r="A6" t="s">
        <v>9</v>
      </c>
      <c r="B6" t="s">
        <v>10</v>
      </c>
      <c r="C6" t="s">
        <v>13</v>
      </c>
      <c r="D6">
        <v>-1</v>
      </c>
      <c r="E6">
        <v>1950</v>
      </c>
      <c r="F6">
        <v>-1950</v>
      </c>
      <c r="G6">
        <v>300</v>
      </c>
      <c r="H6" t="s">
        <v>45</v>
      </c>
      <c r="I6" t="s">
        <v>41</v>
      </c>
      <c r="J6" t="s">
        <v>28</v>
      </c>
      <c r="K6" t="s">
        <v>46</v>
      </c>
    </row>
    <row r="7" spans="1:12">
      <c r="A7" t="s">
        <v>23</v>
      </c>
      <c r="B7" t="s">
        <v>24</v>
      </c>
      <c r="C7" t="s">
        <v>27</v>
      </c>
      <c r="D7">
        <v>-1</v>
      </c>
      <c r="E7">
        <v>3123.08</v>
      </c>
      <c r="F7">
        <v>-3123.08</v>
      </c>
      <c r="G7">
        <v>600</v>
      </c>
      <c r="H7" t="s">
        <v>45</v>
      </c>
      <c r="I7" t="s">
        <v>41</v>
      </c>
      <c r="J7" t="s">
        <v>28</v>
      </c>
      <c r="K7" t="s">
        <v>47</v>
      </c>
    </row>
    <row r="8" spans="1:12">
      <c r="A8" t="s">
        <v>23</v>
      </c>
      <c r="B8" t="s">
        <v>24</v>
      </c>
      <c r="C8" t="s">
        <v>27</v>
      </c>
      <c r="D8">
        <v>-1</v>
      </c>
      <c r="E8">
        <v>3123.08</v>
      </c>
      <c r="F8">
        <v>-3123.08</v>
      </c>
      <c r="G8">
        <v>600</v>
      </c>
      <c r="H8" t="s">
        <v>45</v>
      </c>
      <c r="I8" t="s">
        <v>41</v>
      </c>
      <c r="J8" t="s">
        <v>28</v>
      </c>
      <c r="K8" t="s">
        <v>48</v>
      </c>
    </row>
    <row r="9" spans="1:12">
      <c r="A9" t="s">
        <v>20</v>
      </c>
      <c r="B9" t="s">
        <v>21</v>
      </c>
      <c r="C9" t="s">
        <v>13</v>
      </c>
      <c r="D9">
        <v>1</v>
      </c>
      <c r="E9">
        <v>2600</v>
      </c>
      <c r="F9">
        <v>2600</v>
      </c>
      <c r="G9">
        <v>100</v>
      </c>
      <c r="I9" t="s">
        <v>41</v>
      </c>
      <c r="J9" t="s">
        <v>28</v>
      </c>
      <c r="K9" t="s">
        <v>49</v>
      </c>
    </row>
    <row r="10" spans="1:12">
      <c r="A10" t="s">
        <v>20</v>
      </c>
      <c r="B10" t="s">
        <v>21</v>
      </c>
      <c r="C10" t="s">
        <v>13</v>
      </c>
      <c r="D10">
        <v>1</v>
      </c>
      <c r="E10">
        <v>2600</v>
      </c>
      <c r="F10">
        <v>2600</v>
      </c>
      <c r="G10">
        <v>100</v>
      </c>
      <c r="I10" t="s">
        <v>41</v>
      </c>
      <c r="J10" t="s">
        <v>28</v>
      </c>
      <c r="K10" t="s">
        <v>50</v>
      </c>
    </row>
    <row r="11" spans="1:12">
      <c r="A11" t="s">
        <v>20</v>
      </c>
      <c r="B11" t="s">
        <v>21</v>
      </c>
      <c r="C11" t="s">
        <v>13</v>
      </c>
      <c r="D11">
        <v>1</v>
      </c>
      <c r="E11">
        <v>2600</v>
      </c>
      <c r="F11">
        <v>2600</v>
      </c>
      <c r="G11">
        <v>100</v>
      </c>
      <c r="I11" t="s">
        <v>41</v>
      </c>
      <c r="J11" t="s">
        <v>28</v>
      </c>
      <c r="K11" t="s">
        <v>51</v>
      </c>
    </row>
    <row r="12" spans="1:12">
      <c r="A12" t="s">
        <v>20</v>
      </c>
      <c r="B12" t="s">
        <v>21</v>
      </c>
      <c r="C12" t="s">
        <v>13</v>
      </c>
      <c r="D12">
        <v>-1</v>
      </c>
      <c r="E12">
        <v>2600</v>
      </c>
      <c r="F12">
        <v>-2600</v>
      </c>
      <c r="G12">
        <v>100</v>
      </c>
      <c r="H12" t="s">
        <v>45</v>
      </c>
      <c r="I12" t="s">
        <v>41</v>
      </c>
      <c r="J12" t="s">
        <v>28</v>
      </c>
      <c r="K12" t="s">
        <v>52</v>
      </c>
    </row>
    <row r="13" spans="1:12">
      <c r="A13" t="s">
        <v>15</v>
      </c>
      <c r="B13" t="s">
        <v>16</v>
      </c>
      <c r="C13" t="s">
        <v>19</v>
      </c>
      <c r="D13">
        <v>110</v>
      </c>
      <c r="E13">
        <v>1100</v>
      </c>
      <c r="F13">
        <v>121000</v>
      </c>
      <c r="G13">
        <v>100</v>
      </c>
      <c r="H13" t="s">
        <v>40</v>
      </c>
      <c r="I13" t="s">
        <v>41</v>
      </c>
      <c r="J13" t="s">
        <v>17</v>
      </c>
      <c r="K13" t="s">
        <v>53</v>
      </c>
    </row>
    <row r="14" spans="1:12">
      <c r="A14" t="s">
        <v>15</v>
      </c>
      <c r="B14" t="s">
        <v>16</v>
      </c>
      <c r="C14" t="s">
        <v>19</v>
      </c>
      <c r="D14">
        <v>-1</v>
      </c>
      <c r="E14">
        <v>1100</v>
      </c>
      <c r="F14">
        <v>-1100</v>
      </c>
      <c r="G14">
        <v>100</v>
      </c>
      <c r="H14" t="s">
        <v>45</v>
      </c>
      <c r="I14" t="s">
        <v>41</v>
      </c>
      <c r="J14" t="s">
        <v>17</v>
      </c>
      <c r="K14" t="s">
        <v>54</v>
      </c>
    </row>
    <row r="15" spans="1:12">
      <c r="A15" t="s">
        <v>15</v>
      </c>
      <c r="B15" t="s">
        <v>16</v>
      </c>
      <c r="C15" t="s">
        <v>19</v>
      </c>
      <c r="D15">
        <v>1</v>
      </c>
      <c r="E15">
        <v>1</v>
      </c>
      <c r="F15">
        <v>1</v>
      </c>
      <c r="G15">
        <v>100</v>
      </c>
      <c r="H15" t="s">
        <v>40</v>
      </c>
      <c r="I15" t="s">
        <v>41</v>
      </c>
      <c r="J15" t="s">
        <v>17</v>
      </c>
      <c r="K15" t="s">
        <v>55</v>
      </c>
    </row>
    <row r="16" spans="1:12">
      <c r="A16" t="s">
        <v>15</v>
      </c>
      <c r="B16" t="s">
        <v>16</v>
      </c>
      <c r="C16" t="s">
        <v>19</v>
      </c>
      <c r="D16">
        <v>1</v>
      </c>
      <c r="E16">
        <v>500</v>
      </c>
      <c r="F16">
        <v>500</v>
      </c>
      <c r="G16">
        <v>200</v>
      </c>
      <c r="H16" t="s">
        <v>40</v>
      </c>
      <c r="I16" t="s">
        <v>41</v>
      </c>
      <c r="J16" t="s">
        <v>17</v>
      </c>
      <c r="K16" t="s">
        <v>56</v>
      </c>
    </row>
    <row r="17" spans="1:11">
      <c r="A17" t="s">
        <v>15</v>
      </c>
      <c r="B17" t="s">
        <v>16</v>
      </c>
      <c r="C17" t="s">
        <v>19</v>
      </c>
      <c r="D17">
        <v>1</v>
      </c>
      <c r="E17">
        <v>200</v>
      </c>
      <c r="F17">
        <v>200</v>
      </c>
      <c r="G17">
        <v>200</v>
      </c>
      <c r="H17" t="s">
        <v>40</v>
      </c>
      <c r="I17" t="s">
        <v>41</v>
      </c>
      <c r="J17" t="s">
        <v>17</v>
      </c>
      <c r="K17" t="s">
        <v>57</v>
      </c>
    </row>
    <row r="18" spans="1:11">
      <c r="A18" t="s">
        <v>15</v>
      </c>
      <c r="B18" t="s">
        <v>16</v>
      </c>
      <c r="C18" t="s">
        <v>19</v>
      </c>
      <c r="D18">
        <v>4</v>
      </c>
      <c r="E18">
        <v>500</v>
      </c>
      <c r="F18">
        <v>2000</v>
      </c>
      <c r="G18">
        <v>600</v>
      </c>
      <c r="H18" t="s">
        <v>40</v>
      </c>
      <c r="I18" t="s">
        <v>41</v>
      </c>
      <c r="J18" t="s">
        <v>17</v>
      </c>
      <c r="K18" t="s">
        <v>58</v>
      </c>
    </row>
    <row r="19" spans="1:11">
      <c r="A19" t="s">
        <v>15</v>
      </c>
      <c r="B19" t="s">
        <v>16</v>
      </c>
      <c r="C19" t="s">
        <v>19</v>
      </c>
      <c r="D19">
        <v>4</v>
      </c>
      <c r="E19">
        <v>500</v>
      </c>
      <c r="F19">
        <v>2000</v>
      </c>
      <c r="G19">
        <v>600</v>
      </c>
      <c r="H19" t="s">
        <v>40</v>
      </c>
      <c r="I19" t="s">
        <v>41</v>
      </c>
      <c r="J19" t="s">
        <v>17</v>
      </c>
      <c r="K19" t="s">
        <v>59</v>
      </c>
    </row>
    <row r="20" spans="1:11">
      <c r="A20" t="s">
        <v>15</v>
      </c>
      <c r="B20" t="s">
        <v>16</v>
      </c>
      <c r="C20" t="s">
        <v>19</v>
      </c>
      <c r="D20">
        <v>2</v>
      </c>
      <c r="E20">
        <v>100</v>
      </c>
      <c r="F20">
        <v>200</v>
      </c>
      <c r="G20">
        <v>200</v>
      </c>
      <c r="H20" t="s">
        <v>40</v>
      </c>
      <c r="I20" t="s">
        <v>41</v>
      </c>
      <c r="J20" t="s">
        <v>17</v>
      </c>
      <c r="K20" t="s">
        <v>60</v>
      </c>
    </row>
    <row r="21" spans="1:11">
      <c r="A21" t="s">
        <v>15</v>
      </c>
      <c r="B21" t="s">
        <v>16</v>
      </c>
      <c r="C21" t="s">
        <v>19</v>
      </c>
      <c r="D21">
        <v>2</v>
      </c>
      <c r="E21">
        <v>100</v>
      </c>
      <c r="F21">
        <v>200</v>
      </c>
      <c r="G21">
        <v>200</v>
      </c>
      <c r="H21" t="s">
        <v>40</v>
      </c>
      <c r="I21" t="s">
        <v>41</v>
      </c>
      <c r="J21" t="s">
        <v>17</v>
      </c>
      <c r="K21" t="s">
        <v>61</v>
      </c>
    </row>
    <row r="22" spans="1:11">
      <c r="A22" t="s">
        <v>15</v>
      </c>
      <c r="B22" t="s">
        <v>16</v>
      </c>
      <c r="C22" t="s">
        <v>19</v>
      </c>
      <c r="D22">
        <v>-1</v>
      </c>
      <c r="E22">
        <v>1008.07</v>
      </c>
      <c r="F22">
        <v>-1008.07</v>
      </c>
      <c r="G22">
        <v>200</v>
      </c>
      <c r="H22" t="s">
        <v>45</v>
      </c>
      <c r="I22" t="s">
        <v>41</v>
      </c>
      <c r="J22" t="s">
        <v>17</v>
      </c>
      <c r="K22" t="s">
        <v>62</v>
      </c>
    </row>
    <row r="23" spans="1:11">
      <c r="A23" t="s">
        <v>9</v>
      </c>
      <c r="B23" t="s">
        <v>10</v>
      </c>
      <c r="C23" t="s">
        <v>13</v>
      </c>
      <c r="D23">
        <v>-1</v>
      </c>
      <c r="E23">
        <v>1950</v>
      </c>
      <c r="F23">
        <v>-1950</v>
      </c>
      <c r="G23">
        <v>300</v>
      </c>
      <c r="H23" t="s">
        <v>45</v>
      </c>
      <c r="I23" t="s">
        <v>41</v>
      </c>
      <c r="J23" t="s">
        <v>17</v>
      </c>
      <c r="K23" t="s">
        <v>63</v>
      </c>
    </row>
    <row r="24" spans="1:11">
      <c r="A24" t="s">
        <v>20</v>
      </c>
      <c r="B24" t="s">
        <v>21</v>
      </c>
      <c r="C24" t="s">
        <v>13</v>
      </c>
      <c r="D24">
        <v>-1</v>
      </c>
      <c r="E24">
        <v>2600</v>
      </c>
      <c r="F24">
        <v>-2600</v>
      </c>
      <c r="G24">
        <v>300</v>
      </c>
      <c r="H24" t="s">
        <v>45</v>
      </c>
      <c r="I24" t="s">
        <v>41</v>
      </c>
      <c r="J24" t="s">
        <v>17</v>
      </c>
      <c r="K24" t="s">
        <v>63</v>
      </c>
    </row>
    <row r="25" spans="1:11">
      <c r="A25" t="s">
        <v>9</v>
      </c>
      <c r="B25" t="s">
        <v>10</v>
      </c>
      <c r="C25" t="s">
        <v>13</v>
      </c>
      <c r="D25">
        <v>-2</v>
      </c>
      <c r="E25">
        <v>1950</v>
      </c>
      <c r="F25">
        <v>-3900</v>
      </c>
      <c r="G25">
        <v>100</v>
      </c>
      <c r="H25" t="s">
        <v>64</v>
      </c>
      <c r="I25" t="s">
        <v>41</v>
      </c>
      <c r="J25" t="s">
        <v>14</v>
      </c>
      <c r="K25" t="s">
        <v>65</v>
      </c>
    </row>
  </sheetData>
  <phoneticPr fontId="1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5"/>
  <sheetViews>
    <sheetView tabSelected="1" workbookViewId="0">
      <selection activeCell="J15" sqref="J15"/>
    </sheetView>
  </sheetViews>
  <sheetFormatPr defaultRowHeight="16.2"/>
  <sheetData>
    <row r="1" spans="1:8">
      <c r="A1" s="5" t="s">
        <v>0</v>
      </c>
      <c r="B1" s="5" t="s">
        <v>1</v>
      </c>
      <c r="C1" s="5" t="s">
        <v>2</v>
      </c>
      <c r="D1" s="5" t="s">
        <v>3</v>
      </c>
      <c r="E1" s="5" t="s">
        <v>32</v>
      </c>
      <c r="F1" s="5" t="s">
        <v>66</v>
      </c>
      <c r="G1" s="5" t="s">
        <v>67</v>
      </c>
      <c r="H1" s="7" t="s">
        <v>89</v>
      </c>
    </row>
    <row r="2" spans="1:8">
      <c r="A2" t="s">
        <v>9</v>
      </c>
      <c r="B2" t="s">
        <v>10</v>
      </c>
      <c r="C2" t="s">
        <v>11</v>
      </c>
      <c r="D2" t="s">
        <v>12</v>
      </c>
      <c r="E2">
        <v>100</v>
      </c>
      <c r="F2" t="s">
        <v>28</v>
      </c>
      <c r="G2" t="s">
        <v>68</v>
      </c>
    </row>
    <row r="3" spans="1:8">
      <c r="A3" t="s">
        <v>23</v>
      </c>
      <c r="B3" t="s">
        <v>24</v>
      </c>
      <c r="C3" t="s">
        <v>25</v>
      </c>
      <c r="D3" t="s">
        <v>26</v>
      </c>
      <c r="E3">
        <v>300</v>
      </c>
      <c r="F3" t="s">
        <v>28</v>
      </c>
      <c r="G3" t="s">
        <v>69</v>
      </c>
    </row>
    <row r="4" spans="1:8">
      <c r="A4" t="s">
        <v>20</v>
      </c>
      <c r="B4" t="s">
        <v>21</v>
      </c>
      <c r="C4" t="s">
        <v>22</v>
      </c>
      <c r="D4" t="s">
        <v>18</v>
      </c>
      <c r="E4">
        <v>100</v>
      </c>
      <c r="F4" t="s">
        <v>28</v>
      </c>
      <c r="G4" t="s">
        <v>70</v>
      </c>
    </row>
    <row r="5" spans="1:8">
      <c r="A5" t="s">
        <v>15</v>
      </c>
      <c r="B5" t="s">
        <v>16</v>
      </c>
      <c r="C5" t="s">
        <v>17</v>
      </c>
      <c r="D5" t="s">
        <v>18</v>
      </c>
      <c r="E5">
        <v>100</v>
      </c>
      <c r="F5" t="s">
        <v>17</v>
      </c>
      <c r="G5" t="s">
        <v>71</v>
      </c>
    </row>
  </sheetData>
  <phoneticPr fontId="1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7"/>
  <sheetViews>
    <sheetView workbookViewId="0">
      <selection activeCell="J11" sqref="J11"/>
    </sheetView>
  </sheetViews>
  <sheetFormatPr defaultRowHeight="16.2"/>
  <cols>
    <col min="1" max="1" width="16" style="4" customWidth="1"/>
    <col min="3" max="3" width="11.6640625" style="4" customWidth="1"/>
  </cols>
  <sheetData>
    <row r="1" spans="1:5">
      <c r="A1" t="s">
        <v>72</v>
      </c>
      <c r="B1" t="s">
        <v>73</v>
      </c>
      <c r="C1" t="s">
        <v>0</v>
      </c>
    </row>
    <row r="2" spans="1:5">
      <c r="A2">
        <v>100</v>
      </c>
      <c r="B2" t="s">
        <v>74</v>
      </c>
      <c r="C2">
        <v>1</v>
      </c>
    </row>
    <row r="3" spans="1:5">
      <c r="A3">
        <v>200</v>
      </c>
      <c r="B3" t="s">
        <v>75</v>
      </c>
      <c r="C3">
        <v>2</v>
      </c>
      <c r="E3" s="3"/>
    </row>
    <row r="4" spans="1:5">
      <c r="A4">
        <v>300</v>
      </c>
      <c r="B4" t="s">
        <v>76</v>
      </c>
      <c r="C4">
        <v>3</v>
      </c>
    </row>
    <row r="5" spans="1:5">
      <c r="A5">
        <v>400</v>
      </c>
      <c r="B5" t="s">
        <v>77</v>
      </c>
      <c r="C5">
        <v>4</v>
      </c>
    </row>
    <row r="6" spans="1:5">
      <c r="A6">
        <v>600</v>
      </c>
      <c r="B6" t="s">
        <v>78</v>
      </c>
      <c r="C6">
        <v>6</v>
      </c>
    </row>
    <row r="7" spans="1:5">
      <c r="A7">
        <v>700</v>
      </c>
      <c r="B7" t="s">
        <v>79</v>
      </c>
      <c r="C7">
        <v>7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1"/>
  <sheetViews>
    <sheetView workbookViewId="0">
      <selection activeCell="H15" sqref="H15"/>
    </sheetView>
  </sheetViews>
  <sheetFormatPr defaultRowHeight="16.2"/>
  <cols>
    <col min="1" max="5" width="8.88671875" style="1" customWidth="1"/>
  </cols>
  <sheetData>
    <row r="1" spans="1:5">
      <c r="A1" s="1" t="s">
        <v>80</v>
      </c>
      <c r="B1" s="1" t="s">
        <v>81</v>
      </c>
      <c r="C1" s="1" t="s">
        <v>82</v>
      </c>
      <c r="D1" s="1" t="s">
        <v>83</v>
      </c>
      <c r="E1" s="1" t="s">
        <v>84</v>
      </c>
    </row>
    <row r="2" spans="1:5">
      <c r="A2" s="1" t="s">
        <v>85</v>
      </c>
      <c r="B2" s="1" t="s">
        <v>13</v>
      </c>
      <c r="C2" s="1">
        <v>1</v>
      </c>
      <c r="D2" s="1">
        <v>2600</v>
      </c>
      <c r="E2" s="1">
        <f t="shared" ref="E2:E11" si="0">C2*D2</f>
        <v>2600</v>
      </c>
    </row>
    <row r="3" spans="1:5">
      <c r="A3" s="1" t="s">
        <v>85</v>
      </c>
      <c r="B3" s="1" t="s">
        <v>13</v>
      </c>
      <c r="C3" s="1">
        <v>4</v>
      </c>
      <c r="D3" s="1">
        <v>1950</v>
      </c>
      <c r="E3" s="1">
        <f t="shared" si="0"/>
        <v>7800</v>
      </c>
    </row>
    <row r="4" spans="1:5">
      <c r="A4" s="1" t="s">
        <v>85</v>
      </c>
      <c r="B4" s="1" t="s">
        <v>13</v>
      </c>
      <c r="C4" s="1">
        <v>8</v>
      </c>
      <c r="D4" s="1">
        <v>1850</v>
      </c>
      <c r="E4" s="1">
        <f t="shared" si="0"/>
        <v>14800</v>
      </c>
    </row>
    <row r="5" spans="1:5">
      <c r="A5" s="1" t="s">
        <v>85</v>
      </c>
      <c r="B5" s="1" t="s">
        <v>13</v>
      </c>
      <c r="C5" s="1">
        <v>17</v>
      </c>
      <c r="D5" s="1">
        <v>1741.18</v>
      </c>
      <c r="E5" s="2">
        <f t="shared" si="0"/>
        <v>29600.06</v>
      </c>
    </row>
    <row r="6" spans="1:5">
      <c r="A6" s="1" t="s">
        <v>86</v>
      </c>
      <c r="B6" s="1" t="s">
        <v>27</v>
      </c>
      <c r="C6" s="1">
        <v>1</v>
      </c>
      <c r="D6" s="1">
        <v>3800</v>
      </c>
      <c r="E6" s="1">
        <f t="shared" si="0"/>
        <v>3800</v>
      </c>
    </row>
    <row r="7" spans="1:5">
      <c r="A7" s="1" t="s">
        <v>86</v>
      </c>
      <c r="B7" s="1" t="s">
        <v>27</v>
      </c>
      <c r="C7" s="1">
        <v>4</v>
      </c>
      <c r="D7" s="1">
        <v>3200</v>
      </c>
      <c r="E7" s="1">
        <f t="shared" si="0"/>
        <v>12800</v>
      </c>
    </row>
    <row r="8" spans="1:5">
      <c r="A8" s="1" t="s">
        <v>86</v>
      </c>
      <c r="B8" s="1" t="s">
        <v>27</v>
      </c>
      <c r="C8" s="1">
        <v>8</v>
      </c>
      <c r="D8" s="1">
        <v>3000</v>
      </c>
      <c r="E8" s="1">
        <f t="shared" si="0"/>
        <v>24000</v>
      </c>
    </row>
    <row r="9" spans="1:5">
      <c r="A9" s="1" t="s">
        <v>86</v>
      </c>
      <c r="B9" s="1" t="s">
        <v>27</v>
      </c>
      <c r="C9" s="1">
        <v>17</v>
      </c>
      <c r="D9" s="1">
        <v>2823.53</v>
      </c>
      <c r="E9" s="2">
        <f t="shared" si="0"/>
        <v>48000.01</v>
      </c>
    </row>
    <row r="10" spans="1:5">
      <c r="A10" s="1" t="s">
        <v>87</v>
      </c>
      <c r="B10" s="1" t="s">
        <v>88</v>
      </c>
      <c r="C10" s="1">
        <v>4</v>
      </c>
      <c r="D10" s="1">
        <v>900</v>
      </c>
      <c r="E10" s="1">
        <f t="shared" si="0"/>
        <v>3600</v>
      </c>
    </row>
    <row r="11" spans="1:5">
      <c r="A11" s="1" t="s">
        <v>87</v>
      </c>
      <c r="B11" s="1" t="s">
        <v>88</v>
      </c>
      <c r="C11" s="1">
        <v>8</v>
      </c>
      <c r="D11" s="1">
        <v>800</v>
      </c>
      <c r="E11" s="1">
        <f t="shared" si="0"/>
        <v>6400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A_main</vt:lpstr>
      <vt:lpstr>B_event</vt:lpstr>
      <vt:lpstr>C_member</vt:lpstr>
      <vt:lpstr>coach</vt:lpstr>
      <vt:lpstr>menu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柏蒼 陳</dc:creator>
  <cp:lastModifiedBy>柏蒼 陳</cp:lastModifiedBy>
  <dcterms:created xsi:type="dcterms:W3CDTF">2025-11-30T12:39:09Z</dcterms:created>
  <dcterms:modified xsi:type="dcterms:W3CDTF">2025-12-18T02:24:53Z</dcterms:modified>
</cp:coreProperties>
</file>