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2" autoFilterDateGrouping="1"/>
  </bookViews>
  <sheets>
    <sheet name="A_main" sheetId="1" state="visible" r:id="rId1"/>
    <sheet name="B_event" sheetId="2" state="visible" r:id="rId2"/>
    <sheet name="C_member" sheetId="3" state="visible" r:id="rId3"/>
    <sheet name="menu" sheetId="4" state="visible" r:id="rId4"/>
    <sheet name="backup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1"/>
      <b val="1"/>
      <sz val="11"/>
    </font>
    <font>
      <name val="新細明體"/>
      <b val="1"/>
      <sz val="12"/>
    </font>
    <font>
      <name val="Microsoft JhengHei"/>
      <family val="1"/>
      <b val="1"/>
      <sz val="11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1" fontId="0" fillId="0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49" fontId="3" fillId="0" borderId="2" applyAlignment="1" pivotButton="0" quotePrefix="0" xfId="0">
      <alignment horizontal="center" vertical="top"/>
    </xf>
    <xf numFmtId="49" fontId="0" fillId="0" borderId="0" applyAlignment="1" pivotButton="0" quotePrefix="0" xfId="0">
      <alignment vertical="center"/>
    </xf>
    <xf numFmtId="0" fontId="5" fillId="0" borderId="3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會員姓名</t>
        </is>
      </c>
      <c r="B1" s="7" t="inlineStr">
        <is>
          <t>Email</t>
        </is>
      </c>
      <c r="C1" s="7" t="inlineStr">
        <is>
          <t>生日</t>
        </is>
      </c>
      <c r="D1" s="7" t="inlineStr">
        <is>
          <t>電話</t>
        </is>
      </c>
      <c r="E1" s="7" t="inlineStr">
        <is>
          <t>方案</t>
        </is>
      </c>
      <c r="F1" s="7" t="inlineStr">
        <is>
          <t>剩餘堂數</t>
        </is>
      </c>
      <c r="G1" s="7" t="inlineStr">
        <is>
          <t>平均單堂金額</t>
        </is>
      </c>
      <c r="H1" s="7" t="inlineStr">
        <is>
          <t>剩餘預收款項</t>
        </is>
      </c>
      <c r="I1" s="7" t="inlineStr">
        <is>
          <t>最近交易日期</t>
        </is>
      </c>
    </row>
    <row r="2">
      <c r="A2" t="inlineStr">
        <is>
          <t>林小美</t>
        </is>
      </c>
      <c r="B2" t="inlineStr">
        <is>
          <t>wsx@gmail.com</t>
        </is>
      </c>
      <c r="C2" t="inlineStr">
        <is>
          <t>1997-03-15</t>
        </is>
      </c>
      <c r="D2" t="inlineStr">
        <is>
          <t>0988655322</t>
        </is>
      </c>
      <c r="E2" t="inlineStr">
        <is>
          <t>B</t>
        </is>
      </c>
      <c r="F2" t="n">
        <v>24</v>
      </c>
      <c r="G2" t="n">
        <v>2880</v>
      </c>
      <c r="H2" t="n">
        <v>69120</v>
      </c>
      <c r="I2" t="inlineStr">
        <is>
          <t>2025-12-09</t>
        </is>
      </c>
    </row>
    <row r="3">
      <c r="A3" t="inlineStr">
        <is>
          <t>王小明</t>
        </is>
      </c>
      <c r="B3" t="inlineStr">
        <is>
          <t>qaz@gmail.com</t>
        </is>
      </c>
      <c r="C3" t="inlineStr">
        <is>
          <t>1995-12-25</t>
        </is>
      </c>
      <c r="D3" t="inlineStr">
        <is>
          <t>0988777444</t>
        </is>
      </c>
      <c r="E3" t="inlineStr">
        <is>
          <t>A</t>
        </is>
      </c>
      <c r="F3" t="n">
        <v>4</v>
      </c>
      <c r="G3" t="n">
        <v>1950</v>
      </c>
      <c r="H3" t="n">
        <v>7800</v>
      </c>
      <c r="I3" t="inlineStr">
        <is>
          <t>2025-12-08</t>
        </is>
      </c>
    </row>
    <row r="4">
      <c r="A4" t="inlineStr">
        <is>
          <t>王小明</t>
        </is>
      </c>
      <c r="B4" t="inlineStr">
        <is>
          <t>qaz@gmail.com</t>
        </is>
      </c>
      <c r="C4" t="inlineStr">
        <is>
          <t>1995-12-25</t>
        </is>
      </c>
      <c r="D4" t="inlineStr">
        <is>
          <t>0988777444</t>
        </is>
      </c>
      <c r="E4" t="inlineStr">
        <is>
          <t>B</t>
        </is>
      </c>
      <c r="F4" t="n">
        <v>16</v>
      </c>
      <c r="G4" t="n">
        <v>2823.53</v>
      </c>
      <c r="H4" t="n">
        <v>45176.47</v>
      </c>
      <c r="I4" t="inlineStr">
        <is>
          <t>2025-12-09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6.2"/>
  <sheetData>
    <row r="1">
      <c r="A1" s="4" t="inlineStr">
        <is>
          <t>會員姓名</t>
        </is>
      </c>
      <c r="B1" s="4" t="inlineStr">
        <is>
          <t>Email</t>
        </is>
      </c>
      <c r="C1" s="4" t="inlineStr">
        <is>
          <t>方案</t>
        </is>
      </c>
      <c r="D1" s="4" t="inlineStr">
        <is>
          <t>堂數</t>
        </is>
      </c>
      <c r="E1" s="4" t="inlineStr">
        <is>
          <t>單堂金額</t>
        </is>
      </c>
      <c r="F1" s="4" t="inlineStr">
        <is>
          <t>方案總金額</t>
        </is>
      </c>
      <c r="G1" s="4" t="inlineStr">
        <is>
          <t>付款方式</t>
        </is>
      </c>
      <c r="H1" s="4" t="inlineStr">
        <is>
          <t>匯款末五碼</t>
        </is>
      </c>
      <c r="I1" s="4" t="inlineStr">
        <is>
          <t>交易日期</t>
        </is>
      </c>
      <c r="J1" s="4" t="inlineStr">
        <is>
          <t>交易時間</t>
        </is>
      </c>
    </row>
    <row r="2">
      <c r="A2" s="0" t="inlineStr">
        <is>
          <t>王小明</t>
        </is>
      </c>
      <c r="B2" s="0" t="inlineStr">
        <is>
          <t>qaz@gmail.com</t>
        </is>
      </c>
      <c r="C2" s="0" t="inlineStr">
        <is>
          <t>B</t>
        </is>
      </c>
      <c r="D2" s="0" t="n">
        <v>17</v>
      </c>
      <c r="E2" s="0" t="n">
        <v>2823.53</v>
      </c>
      <c r="F2" s="0" t="n">
        <v>48000</v>
      </c>
      <c r="G2" s="0" t="inlineStr">
        <is>
          <t>匯款</t>
        </is>
      </c>
      <c r="H2" s="0" t="n">
        <v>12345</v>
      </c>
      <c r="I2" s="0" t="inlineStr">
        <is>
          <t>2025-12-08</t>
        </is>
      </c>
      <c r="J2" s="0" t="inlineStr">
        <is>
          <t>15:21:39</t>
        </is>
      </c>
    </row>
    <row r="3">
      <c r="A3" s="0" t="inlineStr">
        <is>
          <t>林小美</t>
        </is>
      </c>
      <c r="B3" s="0" t="inlineStr">
        <is>
          <t>wsx@gmail.com</t>
        </is>
      </c>
      <c r="C3" s="0" t="inlineStr">
        <is>
          <t>B</t>
        </is>
      </c>
      <c r="D3" s="0" t="n">
        <v>17</v>
      </c>
      <c r="E3" s="0" t="n">
        <v>2823.53</v>
      </c>
      <c r="F3" s="0" t="n">
        <v>48000</v>
      </c>
      <c r="G3" s="0" t="inlineStr">
        <is>
          <t>匯款</t>
        </is>
      </c>
      <c r="H3" s="0" t="n">
        <v>54321</v>
      </c>
      <c r="I3" s="0" t="inlineStr">
        <is>
          <t>2025-12-08</t>
        </is>
      </c>
      <c r="J3" s="0" t="inlineStr">
        <is>
          <t>15:28:58</t>
        </is>
      </c>
    </row>
    <row r="4">
      <c r="A4" s="0" t="inlineStr">
        <is>
          <t>王小明</t>
        </is>
      </c>
      <c r="B4" s="0" t="inlineStr">
        <is>
          <t>qaz@gmail.com</t>
        </is>
      </c>
      <c r="C4" s="0" t="inlineStr">
        <is>
          <t>A</t>
        </is>
      </c>
      <c r="D4" s="0" t="n">
        <v>4</v>
      </c>
      <c r="E4" s="0" t="n">
        <v>1950</v>
      </c>
      <c r="F4" s="0" t="n">
        <v>7800</v>
      </c>
      <c r="G4" s="0" t="inlineStr">
        <is>
          <t>匯款</t>
        </is>
      </c>
      <c r="H4" s="0" t="n">
        <v>12345</v>
      </c>
      <c r="I4" s="0" t="inlineStr">
        <is>
          <t>2025-12-08</t>
        </is>
      </c>
      <c r="J4" s="0" t="inlineStr">
        <is>
          <t>15:29:24</t>
        </is>
      </c>
    </row>
    <row r="5">
      <c r="A5" s="0" t="inlineStr">
        <is>
          <t>林小美</t>
        </is>
      </c>
      <c r="B5" s="0" t="inlineStr">
        <is>
          <t>wsx@gmail.com</t>
        </is>
      </c>
      <c r="C5" s="0" t="inlineStr">
        <is>
          <t>B</t>
        </is>
      </c>
      <c r="D5" s="0" t="n">
        <v>8</v>
      </c>
      <c r="E5" s="0" t="n">
        <v>3000</v>
      </c>
      <c r="F5" s="0" t="n">
        <v>24000</v>
      </c>
      <c r="G5" s="0" t="inlineStr">
        <is>
          <t>匯款</t>
        </is>
      </c>
      <c r="H5" s="0" t="n">
        <v>54321</v>
      </c>
      <c r="I5" s="0" t="inlineStr">
        <is>
          <t>2025-12-08</t>
        </is>
      </c>
      <c r="J5" s="0" t="inlineStr">
        <is>
          <t>15:29:43</t>
        </is>
      </c>
    </row>
    <row r="6">
      <c r="A6" s="0" t="inlineStr">
        <is>
          <t>王小明</t>
        </is>
      </c>
      <c r="B6" s="0" t="inlineStr">
        <is>
          <t>qaz@gmail.com</t>
        </is>
      </c>
      <c r="C6" s="0" t="inlineStr">
        <is>
          <t>B</t>
        </is>
      </c>
      <c r="D6" s="0" t="n">
        <v>-1</v>
      </c>
      <c r="E6" s="0" t="n">
        <v>2823.53</v>
      </c>
      <c r="F6" s="0" t="n">
        <v>-2823.53</v>
      </c>
      <c r="G6" s="0" t="inlineStr">
        <is>
          <t>上課</t>
        </is>
      </c>
      <c r="H6" s="0" t="inlineStr">
        <is>
          <t>無</t>
        </is>
      </c>
      <c r="I6" s="0" t="inlineStr">
        <is>
          <t>2025-12-09</t>
        </is>
      </c>
      <c r="J6" s="0" t="inlineStr">
        <is>
          <t>11:07:35</t>
        </is>
      </c>
    </row>
    <row r="7">
      <c r="A7" s="0" t="inlineStr">
        <is>
          <t>林小美</t>
        </is>
      </c>
      <c r="B7" s="0" t="inlineStr">
        <is>
          <t>wsx@gmail.com</t>
        </is>
      </c>
      <c r="C7" s="0" t="inlineStr">
        <is>
          <t>B</t>
        </is>
      </c>
      <c r="D7" s="0" t="n">
        <v>-1</v>
      </c>
      <c r="E7" s="0" t="n">
        <v>2880</v>
      </c>
      <c r="F7" s="0" t="n">
        <v>-2880</v>
      </c>
      <c r="G7" s="0" t="inlineStr">
        <is>
          <t>上課</t>
        </is>
      </c>
      <c r="H7" s="0" t="inlineStr">
        <is>
          <t>無</t>
        </is>
      </c>
      <c r="I7" s="0" t="inlineStr">
        <is>
          <t>2025-12-09</t>
        </is>
      </c>
      <c r="J7" s="0" t="inlineStr">
        <is>
          <t>11:08:08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tabSelected="1" workbookViewId="0">
      <selection activeCell="D11" sqref="D11"/>
    </sheetView>
  </sheetViews>
  <sheetFormatPr baseColWidth="8" defaultRowHeight="16.2"/>
  <cols>
    <col width="36.21875" customWidth="1" style="6" min="4" max="4"/>
  </cols>
  <sheetData>
    <row r="1">
      <c r="A1" s="4" t="inlineStr">
        <is>
          <t>會員姓名</t>
        </is>
      </c>
      <c r="B1" s="4" t="inlineStr">
        <is>
          <t>Email</t>
        </is>
      </c>
      <c r="C1" s="4" t="inlineStr">
        <is>
          <t>生日</t>
        </is>
      </c>
      <c r="D1" s="5" t="inlineStr">
        <is>
          <t>電話</t>
        </is>
      </c>
      <c r="E1" s="4" t="inlineStr">
        <is>
          <t>加入日期</t>
        </is>
      </c>
      <c r="F1" s="4" t="inlineStr">
        <is>
          <t>加入時間</t>
        </is>
      </c>
    </row>
    <row r="2">
      <c r="A2" s="0" t="inlineStr">
        <is>
          <t>王小明</t>
        </is>
      </c>
      <c r="B2" s="0" t="inlineStr">
        <is>
          <t>qaz@gmail.com</t>
        </is>
      </c>
      <c r="C2" s="0" t="inlineStr">
        <is>
          <t>1995-12-25</t>
        </is>
      </c>
      <c r="D2" s="6" t="inlineStr">
        <is>
          <t>0988777444</t>
        </is>
      </c>
      <c r="E2" s="0" t="inlineStr">
        <is>
          <t>2025-12-08</t>
        </is>
      </c>
      <c r="F2" s="0" t="inlineStr">
        <is>
          <t>09:57:24</t>
        </is>
      </c>
    </row>
    <row r="3">
      <c r="A3" s="0" t="inlineStr">
        <is>
          <t>林小美</t>
        </is>
      </c>
      <c r="B3" s="0" t="inlineStr">
        <is>
          <t>wsx@gmail.com</t>
        </is>
      </c>
      <c r="C3" s="0" t="inlineStr">
        <is>
          <t>1997-03-15</t>
        </is>
      </c>
      <c r="D3" s="6" t="inlineStr">
        <is>
          <t>0988655322</t>
        </is>
      </c>
      <c r="E3" s="0" t="inlineStr">
        <is>
          <t>2025-12-08</t>
        </is>
      </c>
      <c r="F3" s="0" t="inlineStr">
        <is>
          <t>15:21:06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G8" sqref="G8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3">
        <f>C5*D5</f>
        <v/>
      </c>
    </row>
    <row r="6">
      <c r="A6" s="1" t="inlineStr">
        <is>
          <t>A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3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H17" sqref="H17"/>
    </sheetView>
  </sheetViews>
  <sheetFormatPr baseColWidth="8" defaultRowHeight="16.2"/>
  <sheetData>
    <row r="1">
      <c r="A1" s="2" t="inlineStr">
        <is>
          <t>會員姓名</t>
        </is>
      </c>
      <c r="B1" s="2" t="inlineStr">
        <is>
          <t>生日</t>
        </is>
      </c>
      <c r="C1" s="2" t="inlineStr">
        <is>
          <t>電話</t>
        </is>
      </c>
      <c r="D1" s="2" t="inlineStr">
        <is>
          <t>Email</t>
        </is>
      </c>
      <c r="E1" s="2" t="inlineStr">
        <is>
          <t>剩餘堂數</t>
        </is>
      </c>
      <c r="F1" s="2" t="inlineStr">
        <is>
          <t>平均單堂金額</t>
        </is>
      </c>
      <c r="G1" s="2" t="inlineStr">
        <is>
          <t>剩餘預收款項</t>
        </is>
      </c>
      <c r="H1" s="2" t="inlineStr">
        <is>
          <t>最近交易日期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柏蒼 陳</dc:creator>
  <dcterms:created xsi:type="dcterms:W3CDTF">2025-11-30T12:39:09Z</dcterms:created>
  <dcterms:modified xsi:type="dcterms:W3CDTF">2025-12-09T03:44:57Z</dcterms:modified>
  <cp:lastModifiedBy>柏蒼 陳</cp:lastModifiedBy>
</cp:coreProperties>
</file>